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(McMaster)" sheetId="1" state="visible" r:id="rId1"/>
    <sheet name="Cut list" sheetId="2" state="visible" r:id="rId2"/>
    <sheet name="Printed (PET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cmaster.com/2349K744/" TargetMode="External" Id="rId1" /><Relationship Type="http://schemas.openxmlformats.org/officeDocument/2006/relationships/hyperlink" Target="https://www.mcmaster.com/products/low-profile-head-socket-screws/" TargetMode="External" Id="rId2" /><Relationship Type="http://schemas.openxmlformats.org/officeDocument/2006/relationships/hyperlink" Target="https://www.mcmaster.com/products/low-profile-head-socket-screws/" TargetMode="External" Id="rId3" /><Relationship Type="http://schemas.openxmlformats.org/officeDocument/2006/relationships/hyperlink" Target="https://www.mcmaster.com/93475A270/" TargetMode="External" Id="rId4" /><Relationship Type="http://schemas.openxmlformats.org/officeDocument/2006/relationships/hyperlink" Target="https://www.mcmaster.com/90453A115/" TargetMode="External" Id="rId5" /><Relationship Type="http://schemas.openxmlformats.org/officeDocument/2006/relationships/hyperlink" Target="https://www.mcmaster.com/98541A116/" TargetMode="External" Id="rId6" /><Relationship Type="http://schemas.openxmlformats.org/officeDocument/2006/relationships/hyperlink" Target="https://www.mcmaster.com/91290A176/" TargetMode="External" Id="rId7" /><Relationship Type="http://schemas.openxmlformats.org/officeDocument/2006/relationships/hyperlink" Target="https://www.mcmaster.com/90453A112/" TargetMode="External" Id="rId8" /><Relationship Type="http://schemas.openxmlformats.org/officeDocument/2006/relationships/hyperlink" Target="https://www.mcmaster.com/91251A537/" TargetMode="External" Id="rId9" /><Relationship Type="http://schemas.openxmlformats.org/officeDocument/2006/relationships/hyperlink" Target="https://www.mcmaster.com/products/heat-set-inserts/" TargetMode="External" Id="rId10" /><Relationship Type="http://schemas.openxmlformats.org/officeDocument/2006/relationships/hyperlink" Target="https://www.mcmaster.com/products/washers/" TargetMode="External" Id="rId11" /><Relationship Type="http://schemas.openxmlformats.org/officeDocument/2006/relationships/hyperlink" Target="https://www.mcmaster.com/92981A230/" TargetMode="External" Id="rId12" /><Relationship Type="http://schemas.openxmlformats.org/officeDocument/2006/relationships/hyperlink" Target="https://www.mcmaster.com/products/locknuts/" TargetMode="External" Id="rId13" /><Relationship Type="http://schemas.openxmlformats.org/officeDocument/2006/relationships/hyperlink" Target="https://www.mcmaster.com/products/washers/material~ptfe/" TargetMode="External" Id="rId14" /><Relationship Type="http://schemas.openxmlformats.org/officeDocument/2006/relationships/hyperlink" Target="https://www.mcmaster.com/products/rotary-shafts/" TargetMode="External" Id="rId15" /><Relationship Type="http://schemas.openxmlformats.org/officeDocument/2006/relationships/hyperlink" Target="https://www.mcmaster.com/products/spacers/" TargetMode="External" Id="rId16" /><Relationship Type="http://schemas.openxmlformats.org/officeDocument/2006/relationships/hyperlink" Target="https://www.mcmaster.com/products/spacers/" TargetMode="External" Id="rId17" /><Relationship Type="http://schemas.openxmlformats.org/officeDocument/2006/relationships/hyperlink" Target="https://www.mcmaster.com/92288A628/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3" customWidth="1" min="3" max="3"/>
    <col width="67" customWidth="1" min="4" max="4"/>
    <col width="12" customWidth="1" min="5" max="5"/>
    <col width="11" customWidth="1" min="6" max="6"/>
    <col width="23" customWidth="1" min="7" max="7"/>
    <col width="32" customWidth="1" min="8" max="8"/>
    <col width="70" customWidth="1" min="9" max="9"/>
  </cols>
  <sheetData>
    <row r="1">
      <c r="A1" s="1" t="inlineStr">
        <is>
          <t>Line</t>
        </is>
      </c>
      <c r="B1" s="1" t="inlineStr">
        <is>
          <t>Description</t>
        </is>
      </c>
      <c r="C1" s="1" t="inlineStr">
        <is>
          <t>McMaster PN</t>
        </is>
      </c>
      <c r="D1" s="1" t="inlineStr">
        <is>
          <t>Link</t>
        </is>
      </c>
      <c r="E1" s="1" t="inlineStr">
        <is>
          <t>Qty needed</t>
        </is>
      </c>
      <c r="F1" s="1" t="inlineStr">
        <is>
          <t>Order qty</t>
        </is>
      </c>
      <c r="G1" s="1" t="inlineStr">
        <is>
          <t>Unit</t>
        </is>
      </c>
      <c r="H1" s="1" t="inlineStr">
        <is>
          <t>PN confidence</t>
        </is>
      </c>
      <c r="I1" s="1" t="inlineStr">
        <is>
          <t>Used for / notes</t>
        </is>
      </c>
    </row>
    <row r="2">
      <c r="A2" s="2" t="inlineStr">
        <is>
          <t>BRG-608-2RS</t>
        </is>
      </c>
      <c r="B2" s="2" t="inlineStr">
        <is>
          <t>608-2RS sealed ball bearing, 8 x 22 x 7 mm</t>
        </is>
      </c>
      <c r="C2" s="2" t="inlineStr">
        <is>
          <t>2349K744</t>
        </is>
      </c>
      <c r="D2" s="3" t="inlineStr">
        <is>
          <t>https://www.mcmaster.com/2349K744/</t>
        </is>
      </c>
      <c r="E2" s="2" t="n">
        <v>22</v>
      </c>
      <c r="F2" s="2" t="n">
        <v>24</v>
      </c>
      <c r="G2" s="2" t="inlineStr">
        <is>
          <t>ea</t>
        </is>
      </c>
      <c r="H2" s="2" t="inlineStr">
        <is>
          <t>Verified (catalogue mirror)</t>
        </is>
      </c>
      <c r="I2" s="2" t="inlineStr">
        <is>
          <t>12 wheels, 4 rocker pivots, 4 bogie pivots, 2 diff carrier. +2 spare. A mirror site lists ~$68 each, which looks too high, so confirm the price/pack at checkout. A bulk 608-2RS 10-pack from another vendor is fine (8x22x7, rubber sealed).</t>
        </is>
      </c>
    </row>
    <row r="3">
      <c r="A3" s="4" t="inlineStr">
        <is>
          <t>AXLE-M8X70-LP</t>
        </is>
      </c>
      <c r="B3" s="4" t="inlineStr">
        <is>
          <t>Low-head socket cap screw DIN 7984, M8 x 1.25 x 70 mm, class 8.8+</t>
        </is>
      </c>
      <c r="C3" s="4" t="inlineStr"/>
      <c r="D3" s="5" t="inlineStr">
        <is>
          <t>https://www.mcmaster.com/products/low-profile-head-socket-screws/</t>
        </is>
      </c>
      <c r="E3" s="4" t="n">
        <v>2</v>
      </c>
      <c r="F3" s="4" t="n">
        <v>2</v>
      </c>
      <c r="G3" s="4" t="inlineStr">
        <is>
          <t>ea</t>
        </is>
      </c>
      <c r="H3" s="4" t="inlineStr">
        <is>
          <t>PN not found: pick in category</t>
        </is>
      </c>
      <c r="I3" s="4" t="inlineStr">
        <is>
          <t>Front wheel axles. Filter: M8, 70 mm, DIN 7984.</t>
        </is>
      </c>
    </row>
    <row r="4">
      <c r="A4" s="4" t="inlineStr">
        <is>
          <t>AXLE-M8X55-LP</t>
        </is>
      </c>
      <c r="B4" s="4" t="inlineStr">
        <is>
          <t>Low-head socket cap screw DIN 7984, M8 x 1.25 x 55 mm, class 8.8+</t>
        </is>
      </c>
      <c r="C4" s="4" t="inlineStr"/>
      <c r="D4" s="5" t="inlineStr">
        <is>
          <t>https://www.mcmaster.com/products/low-profile-head-socket-screws/</t>
        </is>
      </c>
      <c r="E4" s="4" t="n">
        <v>4</v>
      </c>
      <c r="F4" s="4" t="n">
        <v>4</v>
      </c>
      <c r="G4" s="4" t="inlineStr">
        <is>
          <t>ea</t>
        </is>
      </c>
      <c r="H4" s="4" t="inlineStr">
        <is>
          <t>PN not found: pick in category</t>
        </is>
      </c>
      <c r="I4" s="4" t="inlineStr">
        <is>
          <t>Middle + rear wheel axles.</t>
        </is>
      </c>
    </row>
    <row r="5">
      <c r="A5" s="2" t="inlineStr">
        <is>
          <t>WSH-M8</t>
        </is>
      </c>
      <c r="B5" s="2" t="inlineStr">
        <is>
          <t>M8 flat washer DIN 125, 8.4 ID x 16 OD, 18-8 stainless</t>
        </is>
      </c>
      <c r="C5" s="2" t="inlineStr">
        <is>
          <t>93475A270</t>
        </is>
      </c>
      <c r="D5" s="3" t="inlineStr">
        <is>
          <t>https://www.mcmaster.com/93475A270/</t>
        </is>
      </c>
      <c r="E5" s="2" t="n">
        <v>17</v>
      </c>
      <c r="F5" s="2" t="n">
        <v>100</v>
      </c>
      <c r="G5" s="2" t="inlineStr">
        <is>
          <t>pack of 100</t>
        </is>
      </c>
      <c r="H5" s="2" t="inlineStr">
        <is>
          <t>Likely (several resellers)</t>
        </is>
      </c>
      <c r="I5" s="2" t="inlineStr">
        <is>
          <t>12 for axles/pivots + 5 stacked (8 mm) as the cross-pin spacer. The catalogue's zinc 93413A160 was unconfirmed.</t>
        </is>
      </c>
    </row>
    <row r="6">
      <c r="A6" s="2" t="inlineStr">
        <is>
          <t>NUT-M8-THIN</t>
        </is>
      </c>
      <c r="B6" s="2" t="inlineStr">
        <is>
          <t>M8 x 1.25 thin nylon-insert locknut, ISO 10511</t>
        </is>
      </c>
      <c r="C6" s="2" t="inlineStr">
        <is>
          <t>90453A115</t>
        </is>
      </c>
      <c r="D6" s="3" t="inlineStr">
        <is>
          <t>https://www.mcmaster.com/90453A115/</t>
        </is>
      </c>
      <c r="E6" s="2" t="n">
        <v>10</v>
      </c>
      <c r="F6" s="2" t="n">
        <v>10</v>
      </c>
      <c r="G6" s="2" t="inlineStr">
        <is>
          <t>ea (check pack)</t>
        </is>
      </c>
      <c r="H6" s="2" t="inlineStr">
        <is>
          <t>Verified</t>
        </is>
      </c>
      <c r="I6" s="2" t="inlineStr">
        <is>
          <t>6 wheel axles + 4 bogie pivot.</t>
        </is>
      </c>
    </row>
    <row r="7">
      <c r="A7" s="2" t="inlineStr">
        <is>
          <t>RING-8MM</t>
        </is>
      </c>
      <c r="B7" s="2" t="inlineStr">
        <is>
          <t>External retaining ring for 8 mm shaft, DIN 471, black-phosphate steel</t>
        </is>
      </c>
      <c r="C7" s="2" t="inlineStr">
        <is>
          <t>98541A116</t>
        </is>
      </c>
      <c r="D7" s="3" t="inlineStr">
        <is>
          <t>https://www.mcmaster.com/98541A116/</t>
        </is>
      </c>
      <c r="E7" s="2" t="n">
        <v>4</v>
      </c>
      <c r="F7" s="2" t="n">
        <v>4</v>
      </c>
      <c r="G7" s="2" t="inlineStr">
        <is>
          <t>ea (check pack)</t>
        </is>
      </c>
      <c r="H7" s="2" t="inlineStr">
        <is>
          <t>Likely</t>
        </is>
      </c>
      <c r="I7" s="2" t="inlineStr">
        <is>
          <t>Rocker pivot shaft retention (replaces unconfirmed 92133A109). Needs a groove in the shaft.</t>
        </is>
      </c>
    </row>
    <row r="8">
      <c r="A8" s="2" t="inlineStr">
        <is>
          <t>SCR-M4X25</t>
        </is>
      </c>
      <c r="B8" s="2" t="inlineStr">
        <is>
          <t>M4 x 0.7 x 25 mm socket head cap screw, black-oxide alloy 12.9</t>
        </is>
      </c>
      <c r="C8" s="2" t="inlineStr">
        <is>
          <t>91290A176</t>
        </is>
      </c>
      <c r="D8" s="3" t="inlineStr">
        <is>
          <t>https://www.mcmaster.com/91290A176/</t>
        </is>
      </c>
      <c r="E8" s="2" t="n">
        <v>8</v>
      </c>
      <c r="F8" s="2" t="n">
        <v>100</v>
      </c>
      <c r="G8" s="2" t="inlineStr">
        <is>
          <t>pack (likely 100)</t>
        </is>
      </c>
      <c r="H8" s="2" t="inlineStr">
        <is>
          <t>Verified</t>
        </is>
      </c>
      <c r="I8" s="2" t="inlineStr">
        <is>
          <t>Diff cradle to deck.</t>
        </is>
      </c>
    </row>
    <row r="9">
      <c r="A9" s="2" t="inlineStr">
        <is>
          <t>NUT-M4-THIN</t>
        </is>
      </c>
      <c r="B9" s="2" t="inlineStr">
        <is>
          <t>M4 x 0.7 thin nylon-insert locknut, ISO 10511</t>
        </is>
      </c>
      <c r="C9" s="2" t="inlineStr">
        <is>
          <t>90453A112</t>
        </is>
      </c>
      <c r="D9" s="3" t="inlineStr">
        <is>
          <t>https://www.mcmaster.com/90453A112/</t>
        </is>
      </c>
      <c r="E9" s="2" t="n">
        <v>8</v>
      </c>
      <c r="F9" s="2" t="n">
        <v>8</v>
      </c>
      <c r="G9" s="2" t="inlineStr">
        <is>
          <t>ea (check pack)</t>
        </is>
      </c>
      <c r="H9" s="2" t="inlineStr">
        <is>
          <t>Verified</t>
        </is>
      </c>
      <c r="I9" s="2" t="inlineStr">
        <is>
          <t>Diff cradle to deck (under the deck).</t>
        </is>
      </c>
    </row>
    <row r="10">
      <c r="A10" s="2" t="inlineStr">
        <is>
          <t>SCR-1/4-20X1/2</t>
        </is>
      </c>
      <c r="B10" s="2" t="inlineStr">
        <is>
          <t>1/4"-20 x 1/2" socket head cap screw, black-oxide alloy</t>
        </is>
      </c>
      <c r="C10" s="2" t="inlineStr">
        <is>
          <t>91251A537</t>
        </is>
      </c>
      <c r="D10" s="3" t="inlineStr">
        <is>
          <t>https://www.mcmaster.com/91251A537/</t>
        </is>
      </c>
      <c r="E10" s="2" t="n">
        <v>4</v>
      </c>
      <c r="F10" s="2" t="n">
        <v>4</v>
      </c>
      <c r="G10" s="2" t="inlineStr">
        <is>
          <t>ea (check pack)</t>
        </is>
      </c>
      <c r="H10" s="2" t="inlineStr">
        <is>
          <t>Verified</t>
        </is>
      </c>
      <c r="I10" s="2" t="inlineStr">
        <is>
          <t>MMRTG base into the deck's printed threads. Spare ones are handy for the deck grid.</t>
        </is>
      </c>
    </row>
    <row r="11">
      <c r="A11" s="4" t="inlineStr">
        <is>
          <t>INSERT-M3-LID</t>
        </is>
      </c>
      <c r="B11" s="4" t="inlineStr">
        <is>
          <t>M3 brass heat-set insert, ~5 mm OD x 5.7 mm (lid)</t>
        </is>
      </c>
      <c r="C11" s="4" t="inlineStr"/>
      <c r="D11" s="5" t="inlineStr">
        <is>
          <t>https://www.mcmaster.com/products/heat-set-inserts/</t>
        </is>
      </c>
      <c r="E11" s="4" t="n">
        <v>7</v>
      </c>
      <c r="F11" s="4" t="n">
        <v>10</v>
      </c>
      <c r="G11" s="4" t="inlineStr">
        <is>
          <t>ea (pack)</t>
        </is>
      </c>
      <c r="H11" s="4" t="inlineStr">
        <is>
          <t>PN not found: pick in category</t>
        </is>
      </c>
      <c r="I11" s="4" t="inlineStr">
        <is>
          <t>7 lid bosses on the wall rim, Ø4.0 x 8.5 mm holes.</t>
        </is>
      </c>
    </row>
    <row r="12">
      <c r="A12" s="4" t="inlineStr">
        <is>
          <t>WSH-1/4</t>
        </is>
      </c>
      <c r="B12" s="4" t="inlineStr">
        <is>
          <t>1/4 in flat washer, 18-8 or zinc</t>
        </is>
      </c>
      <c r="C12" s="4" t="inlineStr"/>
      <c r="D12" s="5" t="inlineStr">
        <is>
          <t>https://www.mcmaster.com/products/washers/</t>
        </is>
      </c>
      <c r="E12" s="4" t="n">
        <v>4</v>
      </c>
      <c r="F12" s="4" t="n">
        <v>4</v>
      </c>
      <c r="G12" s="4" t="inlineStr">
        <is>
          <t>ea (pack)</t>
        </is>
      </c>
      <c r="H12" s="4" t="inlineStr">
        <is>
          <t>PN not found: pick in category</t>
        </is>
      </c>
      <c r="I12" s="4" t="inlineStr">
        <is>
          <t>Under the MMRTG screw heads.</t>
        </is>
      </c>
    </row>
    <row r="13">
      <c r="A13" s="2" t="inlineStr">
        <is>
          <t>PIN-DIFF</t>
        </is>
      </c>
      <c r="B13" s="2" t="inlineStr">
        <is>
          <t>Shoulder screw, 8 mm shoulder x 80 mm, M6 thread, alloy steel</t>
        </is>
      </c>
      <c r="C13" s="2" t="inlineStr">
        <is>
          <t>92981A230</t>
        </is>
      </c>
      <c r="D13" s="3" t="inlineStr">
        <is>
          <t>https://www.mcmaster.com/92981A230/</t>
        </is>
      </c>
      <c r="E13" s="2" t="n">
        <v>1</v>
      </c>
      <c r="F13" s="2" t="n">
        <v>1</v>
      </c>
      <c r="G13" s="2" t="inlineStr">
        <is>
          <t>ea</t>
        </is>
      </c>
      <c r="H13" s="2" t="inlineStr">
        <is>
          <t>Verified (8 mm/M6 series)</t>
        </is>
      </c>
      <c r="I13" s="2" t="inlineStr">
        <is>
          <t>Differential cross-pin. A 70 mm length isn't stocked; with the 80 mm screw, stack 5 M8 washers (8 mm) under the nut side. ISO 7379 8x70 M6 is available from other suppliers if you prefer.</t>
        </is>
      </c>
    </row>
    <row r="14">
      <c r="A14" s="4" t="inlineStr">
        <is>
          <t>NUT-M6-NYLOC</t>
        </is>
      </c>
      <c r="B14" s="4" t="inlineStr">
        <is>
          <t>M6 x 1.0 nylon-insert locknut</t>
        </is>
      </c>
      <c r="C14" s="4" t="inlineStr"/>
      <c r="D14" s="5" t="inlineStr">
        <is>
          <t>https://www.mcmaster.com/products/locknuts/</t>
        </is>
      </c>
      <c r="E14" s="4" t="n">
        <v>1</v>
      </c>
      <c r="F14" s="4" t="n">
        <v>1</v>
      </c>
      <c r="G14" s="4" t="inlineStr">
        <is>
          <t>ea</t>
        </is>
      </c>
      <c r="H14" s="4" t="inlineStr">
        <is>
          <t>PN not found: pick in category</t>
        </is>
      </c>
      <c r="I14" s="4" t="inlineStr">
        <is>
          <t>Cross-pin nut. Filter: M6, nylon insert.</t>
        </is>
      </c>
    </row>
    <row r="15">
      <c r="A15" s="4" t="inlineStr">
        <is>
          <t>WSH-PTFE-M8</t>
        </is>
      </c>
      <c r="B15" s="4" t="inlineStr">
        <is>
          <t>PTFE thrust washer, 8.4 ID x 16 OD x 1 mm</t>
        </is>
      </c>
      <c r="C15" s="4" t="inlineStr"/>
      <c r="D15" s="5" t="inlineStr">
        <is>
          <t>https://www.mcmaster.com/products/washers/material~ptfe/</t>
        </is>
      </c>
      <c r="E15" s="4" t="n">
        <v>2</v>
      </c>
      <c r="F15" s="4" t="n">
        <v>2</v>
      </c>
      <c r="G15" s="4" t="inlineStr">
        <is>
          <t>ea (pack)</t>
        </is>
      </c>
      <c r="H15" s="4" t="inlineStr">
        <is>
          <t>PN not found: pick in category</t>
        </is>
      </c>
      <c r="I15" s="4" t="inlineStr">
        <is>
          <t>Planet gear thrust washers. Nylon is fine too.</t>
        </is>
      </c>
    </row>
    <row r="16">
      <c r="A16" s="4" t="inlineStr">
        <is>
          <t>SHAFT-8MM</t>
        </is>
      </c>
      <c r="B16" s="4" t="inlineStr">
        <is>
          <t>8 mm hardened precision shaft, h6, 500 mm</t>
        </is>
      </c>
      <c r="C16" s="4" t="inlineStr"/>
      <c r="D16" s="5" t="inlineStr">
        <is>
          <t>https://www.mcmaster.com/products/rotary-shafts/</t>
        </is>
      </c>
      <c r="E16" s="4" t="n">
        <v>1</v>
      </c>
      <c r="F16" s="4" t="n">
        <v>1</v>
      </c>
      <c r="G16" s="4" t="inlineStr">
        <is>
          <t>500 mm length</t>
        </is>
      </c>
      <c r="H16" s="4" t="inlineStr">
        <is>
          <t>PN not found: pick in category</t>
        </is>
      </c>
      <c r="I16" s="4" t="inlineStr">
        <is>
          <t>Cut: 2 x 106.5 (rocker pivots, keyway + ring grooves) and 2 x 51.5 (bogie pivots) = 316 mm + kerf.</t>
        </is>
      </c>
    </row>
    <row r="17">
      <c r="A17" s="4" t="inlineStr">
        <is>
          <t>TUBE-13X8.4</t>
        </is>
      </c>
      <c r="B17" s="4" t="inlineStr">
        <is>
          <t>Tube or unthreaded spacer, 13 mm OD x 8.3-8.4 mm ID (Al or steel)</t>
        </is>
      </c>
      <c r="C17" s="4" t="inlineStr"/>
      <c r="D17" s="5" t="inlineStr">
        <is>
          <t>https://www.mcmaster.com/products/spacers/</t>
        </is>
      </c>
      <c r="E17" s="4" t="n">
        <v>1</v>
      </c>
      <c r="F17" s="4" t="n">
        <v>1</v>
      </c>
      <c r="G17" s="4" t="inlineStr">
        <is>
          <t>300 mm tube or precut</t>
        </is>
      </c>
      <c r="H17" s="4" t="inlineStr">
        <is>
          <t>PN not found: pick in category</t>
        </is>
      </c>
      <c r="I17" s="4" t="inlineStr">
        <is>
          <t>Cut: 2 x 22.8 mm (front wheel spacers) and 4 x 5.8 mm (bogie wheel spacers).</t>
        </is>
      </c>
    </row>
    <row r="18">
      <c r="A18" s="4" t="inlineStr">
        <is>
          <t>SPACER-12X8.4</t>
        </is>
      </c>
      <c r="B18" s="4" t="inlineStr">
        <is>
          <t>Unthreaded spacer for M8, 12 mm OD, ~8 mm long</t>
        </is>
      </c>
      <c r="C18" s="4" t="inlineStr"/>
      <c r="D18" s="5" t="inlineStr">
        <is>
          <t>https://www.mcmaster.com/products/spacers/</t>
        </is>
      </c>
      <c r="E18" s="4" t="n">
        <v>6</v>
      </c>
      <c r="F18" s="4" t="n">
        <v>6</v>
      </c>
      <c r="G18" s="4" t="inlineStr">
        <is>
          <t>ea</t>
        </is>
      </c>
      <c r="H18" s="4" t="inlineStr">
        <is>
          <t>PN not found: pick in category</t>
        </is>
      </c>
      <c r="I18" s="4" t="inlineStr">
        <is>
          <t>Wheel inner-race spacer; face down to 7.7 mm (or buy 12x8.4 tube and cut).</t>
        </is>
      </c>
    </row>
    <row r="19">
      <c r="A19" s="2" t="inlineStr">
        <is>
          <t>KEY-3X3</t>
        </is>
      </c>
      <c r="B19" s="2" t="inlineStr">
        <is>
          <t>3 x 3 mm key stock, 1000 mm</t>
        </is>
      </c>
      <c r="C19" s="2" t="inlineStr">
        <is>
          <t>92288A628</t>
        </is>
      </c>
      <c r="D19" s="3" t="inlineStr">
        <is>
          <t>https://www.mcmaster.com/92288A628/</t>
        </is>
      </c>
      <c r="E19" s="2" t="n">
        <v>1</v>
      </c>
      <c r="F19" s="2" t="n">
        <v>1</v>
      </c>
      <c r="G19" s="2" t="inlineStr">
        <is>
          <t>1 m</t>
        </is>
      </c>
      <c r="H19" s="2" t="inlineStr">
        <is>
          <t>Likely (search summary)</t>
        </is>
      </c>
      <c r="I19" s="2" t="inlineStr">
        <is>
          <t>Cut: 2 x 12.5 mm (rocker) and 2 x 14.5 mm (diff side gear). Listed as DIN 6880 undersized, which still fits the 3.05 mm slots.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/>
      <c r="B21" s="2" t="inlineStr">
        <is>
          <t>Yellow rows: no verified McMaster PN. The link opens the right category; pick the size listed.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/>
      <c r="B22" s="2" t="inlineStr">
        <is>
          <t>PNs were checked against catalogue mirror sites (McMaster's site blocks automated reads). Glance at each page before ordering.</t>
        </is>
      </c>
      <c r="C22" s="2" t="n"/>
      <c r="D22" s="2" t="n"/>
      <c r="E22" s="2" t="n"/>
      <c r="F22" s="2" t="n"/>
      <c r="G22" s="2" t="n"/>
      <c r="H22" s="2" t="n"/>
      <c r="I22" s="2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22" customWidth="1" min="4" max="4"/>
    <col width="70" customWidth="1" min="5" max="5"/>
  </cols>
  <sheetData>
    <row r="1">
      <c r="A1" s="1" t="inlineStr">
        <is>
          <t>Stock</t>
        </is>
      </c>
      <c r="B1" s="1" t="inlineStr">
        <is>
          <t>Piece</t>
        </is>
      </c>
      <c r="C1" s="1" t="inlineStr">
        <is>
          <t>Qty</t>
        </is>
      </c>
      <c r="D1" s="1" t="inlineStr">
        <is>
          <t>Finished length (mm)</t>
        </is>
      </c>
      <c r="E1" s="1" t="inlineStr">
        <is>
          <t>Process</t>
        </is>
      </c>
    </row>
    <row r="2">
      <c r="A2" s="2" t="inlineStr">
        <is>
          <t>8 mm shaft</t>
        </is>
      </c>
      <c r="B2" s="2" t="inlineStr">
        <is>
          <t>Left rocker pivot shaft</t>
        </is>
      </c>
      <c r="C2" s="2" t="n">
        <v>1</v>
      </c>
      <c r="D2" s="2" t="n">
        <v>106.5</v>
      </c>
      <c r="E2" s="2" t="inlineStr">
        <is>
          <t>3 mm keyways for rocker key (centre y -50.25, 14.5 long) and gear key (y -135.75); ring groove</t>
        </is>
      </c>
    </row>
    <row r="3">
      <c r="A3" s="2" t="inlineStr">
        <is>
          <t>8 mm shaft</t>
        </is>
      </c>
      <c r="B3" s="2" t="inlineStr">
        <is>
          <t>Right rocker pivot shaft</t>
        </is>
      </c>
      <c r="C3" s="2" t="n">
        <v>1</v>
      </c>
      <c r="D3" s="2" t="n">
        <v>106.5</v>
      </c>
      <c r="E3" s="2" t="inlineStr">
        <is>
          <t>Mirror of left</t>
        </is>
      </c>
    </row>
    <row r="4">
      <c r="A4" s="2" t="inlineStr">
        <is>
          <t>8 mm shaft</t>
        </is>
      </c>
      <c r="B4" s="2" t="inlineStr">
        <is>
          <t>Bogie pivot shafts</t>
        </is>
      </c>
      <c r="C4" s="2" t="n">
        <v>2</v>
      </c>
      <c r="D4" s="2" t="n">
        <v>51.5</v>
      </c>
      <c r="E4" s="2" t="inlineStr">
        <is>
          <t>Plain; M8 washers + thin nylocs each end</t>
        </is>
      </c>
    </row>
    <row r="5">
      <c r="A5" s="2" t="inlineStr">
        <is>
          <t>13 mm tube</t>
        </is>
      </c>
      <c r="B5" s="2" t="inlineStr">
        <is>
          <t>Front wheel spacer</t>
        </is>
      </c>
      <c r="C5" s="2" t="n">
        <v>2</v>
      </c>
      <c r="D5" s="2" t="n">
        <v>22.8</v>
      </c>
      <c r="E5" s="2" t="inlineStr">
        <is>
          <t>Deburr, face square</t>
        </is>
      </c>
    </row>
    <row r="6">
      <c r="A6" s="2" t="inlineStr">
        <is>
          <t>13 mm tube</t>
        </is>
      </c>
      <c r="B6" s="2" t="inlineStr">
        <is>
          <t>Bogie wheel spacer</t>
        </is>
      </c>
      <c r="C6" s="2" t="n">
        <v>4</v>
      </c>
      <c r="D6" s="2" t="n">
        <v>5.8</v>
      </c>
      <c r="E6" s="2" t="inlineStr">
        <is>
          <t>Deburr, face square</t>
        </is>
      </c>
    </row>
    <row r="7">
      <c r="A7" s="2" t="inlineStr">
        <is>
          <t>12 mm spacer</t>
        </is>
      </c>
      <c r="B7" s="2" t="inlineStr">
        <is>
          <t>Wheel inner-race spacer</t>
        </is>
      </c>
      <c r="C7" s="2" t="n">
        <v>6</v>
      </c>
      <c r="D7" s="2" t="n">
        <v>7.7</v>
      </c>
      <c r="E7" s="2" t="inlineStr">
        <is>
          <t>Face to measured gap between seated bearings; must spin free with nut tight</t>
        </is>
      </c>
    </row>
    <row r="8">
      <c r="A8" s="2" t="inlineStr">
        <is>
          <t>3 mm key</t>
        </is>
      </c>
      <c r="B8" s="2" t="inlineStr">
        <is>
          <t>Rocker keys</t>
        </is>
      </c>
      <c r="C8" s="2" t="n">
        <v>2</v>
      </c>
      <c r="D8" s="2" t="n">
        <v>12.5</v>
      </c>
      <c r="E8" s="2" t="inlineStr"/>
    </row>
    <row r="9">
      <c r="A9" s="2" t="inlineStr">
        <is>
          <t>3 mm key</t>
        </is>
      </c>
      <c r="B9" s="2" t="inlineStr">
        <is>
          <t>Diff side-gear keys</t>
        </is>
      </c>
      <c r="C9" s="2" t="n">
        <v>2</v>
      </c>
      <c r="D9" s="2" t="n">
        <v>14.5</v>
      </c>
      <c r="E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25" customWidth="1" min="3" max="3"/>
    <col width="26" customWidth="1" min="4" max="4"/>
    <col width="70" customWidth="1" min="5" max="5"/>
  </cols>
  <sheetData>
    <row r="1">
      <c r="A1" s="1" t="inlineStr">
        <is>
          <t>Part</t>
        </is>
      </c>
      <c r="B1" s="1" t="inlineStr">
        <is>
          <t>Qty</t>
        </is>
      </c>
      <c r="C1" s="1" t="inlineStr">
        <is>
          <t>Solid volume each (cm3)</t>
        </is>
      </c>
      <c r="D1" s="1" t="inlineStr">
        <is>
          <t>Solid volume total (cm3)</t>
        </is>
      </c>
      <c r="E1" s="1" t="inlineStr">
        <is>
          <t>Orientation / notes</t>
        </is>
      </c>
    </row>
    <row r="2">
      <c r="A2" s="2" t="inlineStr">
        <is>
          <t>Chassis: deck + body walls + towers</t>
        </is>
      </c>
      <c r="B2" s="2" t="n">
        <v>1</v>
      </c>
      <c r="C2" s="2" t="n">
        <v>825.2</v>
      </c>
      <c r="D2" s="2" t="n">
        <v>825.2</v>
      </c>
      <c r="E2" s="2" t="inlineStr">
        <is>
          <t>Flat, Z up; deck + isogrid body walls + rocker towers in one print (300 x 229 x 91, fits H2D). 1/4-20 threads printed in place, 7 M3 lid inserts. File: yaprover_deck_walls_THREADED_PRINTx1</t>
        </is>
      </c>
    </row>
    <row r="3">
      <c r="A3" s="2" t="inlineStr">
        <is>
          <t>Rocker (L and R)</t>
        </is>
      </c>
      <c r="B3" s="2" t="n">
        <v>2</v>
      </c>
      <c r="C3" s="2" t="n">
        <v>174.5</v>
      </c>
      <c r="D3" s="2" t="n">
        <v>349</v>
      </c>
      <c r="E3" s="2" t="inlineStr">
        <is>
          <t>Flat, big face down; rotate ~152 deg to fit H2S (271 x 251 mm)</t>
        </is>
      </c>
    </row>
    <row r="4">
      <c r="A4" s="2" t="inlineStr">
        <is>
          <t>Bogie (L and R)</t>
        </is>
      </c>
      <c r="B4" s="2" t="n">
        <v>2</v>
      </c>
      <c r="C4" s="2" t="n">
        <v>114.5</v>
      </c>
      <c r="D4" s="2" t="n">
        <v>229</v>
      </c>
      <c r="E4" s="2" t="inlineStr">
        <is>
          <t>Flat</t>
        </is>
      </c>
    </row>
    <row r="5">
      <c r="A5" s="2" t="inlineStr">
        <is>
          <t>Wheel (one part for all 6)</t>
        </is>
      </c>
      <c r="B5" s="2" t="n">
        <v>6</v>
      </c>
      <c r="C5" s="2" t="n">
        <v>92.7</v>
      </c>
      <c r="D5" s="2" t="n">
        <v>556.2</v>
      </c>
      <c r="E5" s="2" t="inlineStr">
        <is>
          <t>Inboard/spoke face down. File: yaprover_wheel_ALL6_PRINTx6</t>
        </is>
      </c>
    </row>
    <row r="6">
      <c r="A6" s="2" t="inlineStr">
        <is>
          <t>Diff side gear</t>
        </is>
      </c>
      <c r="B6" s="2" t="n">
        <v>2</v>
      </c>
      <c r="C6" s="2" t="n">
        <v>5.4</v>
      </c>
      <c r="D6" s="2" t="n">
        <v>10.8</v>
      </c>
      <c r="E6" s="2" t="inlineStr">
        <is>
          <t>Toe down, hub up; 100% infill</t>
        </is>
      </c>
    </row>
    <row r="7">
      <c r="A7" s="2" t="inlineStr">
        <is>
          <t>Diff planet gear</t>
        </is>
      </c>
      <c r="B7" s="2" t="n">
        <v>2</v>
      </c>
      <c r="C7" s="2" t="n">
        <v>4.9</v>
      </c>
      <c r="D7" s="2" t="n">
        <v>9.800000000000001</v>
      </c>
      <c r="E7" s="2" t="inlineStr">
        <is>
          <t>Toe down, hub up; 100% infill</t>
        </is>
      </c>
    </row>
    <row r="8">
      <c r="A8" s="2" t="inlineStr">
        <is>
          <t>Diff cradle</t>
        </is>
      </c>
      <c r="B8" s="2" t="n">
        <v>1</v>
      </c>
      <c r="C8" s="2" t="n">
        <v>115.4</v>
      </c>
      <c r="D8" s="2" t="n">
        <v>115.4</v>
      </c>
      <c r="E8" s="2" t="inlineStr">
        <is>
          <t>Base down</t>
        </is>
      </c>
    </row>
    <row r="9">
      <c r="A9" s="2" t="inlineStr">
        <is>
          <t>MMRTG (with box back wall)</t>
        </is>
      </c>
      <c r="B9" s="2" t="n">
        <v>1</v>
      </c>
      <c r="C9" s="2" t="n">
        <v>467.1</v>
      </c>
      <c r="D9" s="2" t="n">
        <v>467.1</v>
      </c>
      <c r="E9" s="2" t="inlineStr">
        <is>
          <t>Base down. File: yaprover_mmrtg_PRINTx1</t>
        </is>
      </c>
    </row>
    <row r="10">
      <c r="A10" s="2" t="n"/>
      <c r="B10" s="2" t="n"/>
      <c r="C10" s="2" t="n"/>
      <c r="D10" s="2" t="n"/>
      <c r="E10" s="2" t="n"/>
    </row>
    <row r="11">
      <c r="A11" s="2" t="inlineStr">
        <is>
          <t>Total solid volume</t>
        </is>
      </c>
      <c r="B11" s="2" t="inlineStr"/>
      <c r="C11" s="2" t="inlineStr"/>
      <c r="D11" s="2" t="n">
        <v>2562.5</v>
      </c>
      <c r="E11" s="2">
        <f> 3.3 kg if 100% solid; ~2 kg at typical walls/infill. Order 3 x 1 kg PETG.</f>
        <v/>
      </c>
    </row>
    <row r="12">
      <c r="A12" s="2" t="inlineStr">
        <is>
          <t>Filament</t>
        </is>
      </c>
      <c r="B12" s="2" t="inlineStr"/>
      <c r="C12" s="2" t="inlineStr"/>
      <c r="D12" s="2" t="inlineStr"/>
      <c r="E12" s="2" t="inlineStr">
        <is>
          <t>PETG 1.75 mm, 3 x 1 kg (any brand; Bambu PETG HF works on the H2S)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2026-10-13T23:29:11Z</dcterms:created>
  <dcterms:modified xsi:type="dcterms:W3CDTF">2026-10-13T23:29:11Z</dcterms:modified>
</cp:coreProperties>
</file>